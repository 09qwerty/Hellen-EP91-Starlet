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ber\Documents\Hellen-One-EP91-NA\pinouts\"/>
    </mc:Choice>
  </mc:AlternateContent>
  <xr:revisionPtr revIDLastSave="0" documentId="13_ncr:1_{AA888740-B017-48E9-AE72-B1B1BFA7F1CD}" xr6:coauthVersionLast="47" xr6:coauthVersionMax="47" xr10:uidLastSave="{00000000-0000-0000-0000-000000000000}"/>
  <bookViews>
    <workbookView xWindow="2685" yWindow="2685" windowWidth="21600" windowHeight="12645" xr2:uid="{A4328176-880A-42A0-B157-A9DF67C5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A26" i="1"/>
  <c r="A27" i="1"/>
  <c r="A28" i="1"/>
  <c r="A29" i="1"/>
  <c r="A30" i="1" s="1"/>
  <c r="A31" i="1" s="1"/>
  <c r="A32" i="1" s="1"/>
  <c r="A33" i="1" s="1"/>
  <c r="A34" i="1" s="1"/>
  <c r="A35" i="1" s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11" i="1"/>
</calcChain>
</file>

<file path=xl/sharedStrings.xml><?xml version="1.0" encoding="utf-8"?>
<sst xmlns="http://schemas.openxmlformats.org/spreadsheetml/2006/main" count="111" uniqueCount="95">
  <si>
    <t>PIN</t>
  </si>
  <si>
    <t>LABEL</t>
  </si>
  <si>
    <t>DESCRIPTION</t>
  </si>
  <si>
    <t>CONNECTOR 1</t>
  </si>
  <si>
    <t>CONNECTOR 2</t>
  </si>
  <si>
    <t>RSC</t>
  </si>
  <si>
    <t>NSW</t>
  </si>
  <si>
    <t>THW</t>
  </si>
  <si>
    <t>PIM</t>
  </si>
  <si>
    <t>THA</t>
  </si>
  <si>
    <t>IGF</t>
  </si>
  <si>
    <t>OX</t>
  </si>
  <si>
    <t>STA</t>
  </si>
  <si>
    <t>#10</t>
  </si>
  <si>
    <t>E01</t>
  </si>
  <si>
    <t>RSO</t>
  </si>
  <si>
    <t>HT</t>
  </si>
  <si>
    <t>E2</t>
  </si>
  <si>
    <t>PSW</t>
  </si>
  <si>
    <t>VCC</t>
  </si>
  <si>
    <t>IDL</t>
  </si>
  <si>
    <t>FAN</t>
  </si>
  <si>
    <t>NE</t>
  </si>
  <si>
    <t>ELS3</t>
  </si>
  <si>
    <t>IPV</t>
  </si>
  <si>
    <t>E1</t>
  </si>
  <si>
    <t>#20</t>
  </si>
  <si>
    <t>BATT</t>
  </si>
  <si>
    <t>CCO</t>
  </si>
  <si>
    <t>FC</t>
  </si>
  <si>
    <t>AC2</t>
  </si>
  <si>
    <t>TE2</t>
  </si>
  <si>
    <t>TE1</t>
  </si>
  <si>
    <t>+B</t>
  </si>
  <si>
    <t>W</t>
  </si>
  <si>
    <t>EGW</t>
  </si>
  <si>
    <t>AC1</t>
  </si>
  <si>
    <t>SPD</t>
  </si>
  <si>
    <t>ACT</t>
  </si>
  <si>
    <t>ELS2</t>
  </si>
  <si>
    <t>VF</t>
  </si>
  <si>
    <t>Conn-1 = 26 pin</t>
  </si>
  <si>
    <t>Conn-2 = 16 pin</t>
  </si>
  <si>
    <t>42 pin total</t>
  </si>
  <si>
    <t>CHECKED?</t>
  </si>
  <si>
    <t>Rotary idle valve - OPEN</t>
  </si>
  <si>
    <t>Rotary idle valve - CLOSE</t>
  </si>
  <si>
    <t>not present</t>
  </si>
  <si>
    <t>Neutral switch for starter</t>
  </si>
  <si>
    <t>Narrowband signal</t>
  </si>
  <si>
    <t>Narrowband heater?</t>
  </si>
  <si>
    <t>Checked column means verified via multimeter / oscilloscope on my car</t>
  </si>
  <si>
    <t>= lowside driven</t>
  </si>
  <si>
    <t>ELS = electrical load system. says if headlights are on</t>
  </si>
  <si>
    <t>Intake manifold pressure sensor MAP?</t>
  </si>
  <si>
    <t>Coolant temperature</t>
  </si>
  <si>
    <t>Intake air temperature</t>
  </si>
  <si>
    <t>Injector 1+3</t>
  </si>
  <si>
    <t>Injector 2 + 4</t>
  </si>
  <si>
    <t>Fuel pump relay</t>
  </si>
  <si>
    <t>Says if rear defogger / rear blower motor is on</t>
  </si>
  <si>
    <t>Diagnostic for O2, says if ecu is compensating for lean or rich</t>
  </si>
  <si>
    <t>Diagnostic</t>
  </si>
  <si>
    <t>Australian 'Life' model/trim</t>
  </si>
  <si>
    <t>1997 Toyota Starlet EP91</t>
  </si>
  <si>
    <t>5 Speed Manual</t>
  </si>
  <si>
    <t>3 Door</t>
  </si>
  <si>
    <t>Engine cranking signal (from starter switch)</t>
  </si>
  <si>
    <t>NE-</t>
  </si>
  <si>
    <t>No connection</t>
  </si>
  <si>
    <t>ELS</t>
  </si>
  <si>
    <t>I0F</t>
  </si>
  <si>
    <t>Not present</t>
  </si>
  <si>
    <t>computer ground</t>
  </si>
  <si>
    <t>vr sensor gnd</t>
  </si>
  <si>
    <t>Y</t>
  </si>
  <si>
    <t>Ignition timing (5v spark signal)</t>
  </si>
  <si>
    <t>=no harness wire connected</t>
  </si>
  <si>
    <t>IGT</t>
  </si>
  <si>
    <t>Sync signal, uses NE- as ground? (1 tooth sync in distributor?)</t>
  </si>
  <si>
    <t>Ignition feedback from igniter</t>
  </si>
  <si>
    <t>Idle position switch</t>
  </si>
  <si>
    <t>Rad fan</t>
  </si>
  <si>
    <t>Sensor ground</t>
  </si>
  <si>
    <t>computer power ground</t>
  </si>
  <si>
    <t>Permanent battery voltage</t>
  </si>
  <si>
    <t>Battery voltage when ignition is switched on</t>
  </si>
  <si>
    <t>Check engine light</t>
  </si>
  <si>
    <t>Exhaust Temp light</t>
  </si>
  <si>
    <t>Cat converter overheat sensor</t>
  </si>
  <si>
    <t>TPS position (0.7v no throttle, 4v WOT)</t>
  </si>
  <si>
    <t>TPS power (5v)</t>
  </si>
  <si>
    <t>vr sensor with NE- (4-0 wheel in distributor)</t>
  </si>
  <si>
    <t>Toggle AC</t>
  </si>
  <si>
    <t>Signal from ac computer, says if ac clutch is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</si>
</sst>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581024</xdr:colOff>
      <xdr:row>7</xdr:row>
      <xdr:rowOff>5107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0183D-B557-5FE9-479D-9160A7D0C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00474" cy="1338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A479-813E-4AB7-B704-A99EDCDE19CA}">
  <dimension ref="A1:M35"/>
  <sheetViews>
    <sheetView tabSelected="1" topLeftCell="A7" zoomScale="132" zoomScaleNormal="160" workbookViewId="0">
      <selection activeCell="K27" sqref="K27"/>
    </sheetView>
  </sheetViews>
  <sheetFormatPr defaultRowHeight="15" x14ac:dyDescent="0.25"/>
  <cols>
    <col min="3" max="3" width="11.7109375" customWidth="1"/>
    <col min="12" max="12" width="11.140625" customWidth="1"/>
  </cols>
  <sheetData>
    <row r="1" spans="1:13" x14ac:dyDescent="0.25">
      <c r="G1" t="s">
        <v>64</v>
      </c>
      <c r="K1" t="s">
        <v>51</v>
      </c>
    </row>
    <row r="2" spans="1:13" x14ac:dyDescent="0.25">
      <c r="G2" t="s">
        <v>63</v>
      </c>
    </row>
    <row r="3" spans="1:13" x14ac:dyDescent="0.25">
      <c r="G3" t="s">
        <v>65</v>
      </c>
      <c r="K3" s="2"/>
      <c r="L3" s="1" t="s">
        <v>52</v>
      </c>
    </row>
    <row r="4" spans="1:13" x14ac:dyDescent="0.25">
      <c r="G4" t="s">
        <v>66</v>
      </c>
    </row>
    <row r="5" spans="1:13" x14ac:dyDescent="0.25">
      <c r="G5" t="s">
        <v>41</v>
      </c>
      <c r="K5" s="3"/>
      <c r="L5" s="1" t="s">
        <v>77</v>
      </c>
    </row>
    <row r="6" spans="1:13" x14ac:dyDescent="0.25">
      <c r="G6" t="s">
        <v>42</v>
      </c>
    </row>
    <row r="7" spans="1:13" x14ac:dyDescent="0.25">
      <c r="G7" t="s">
        <v>43</v>
      </c>
    </row>
    <row r="8" spans="1:13" x14ac:dyDescent="0.25">
      <c r="A8" t="s">
        <v>3</v>
      </c>
      <c r="J8" t="s">
        <v>4</v>
      </c>
    </row>
    <row r="9" spans="1:13" x14ac:dyDescent="0.25">
      <c r="A9" t="s">
        <v>0</v>
      </c>
      <c r="B9" t="s">
        <v>1</v>
      </c>
      <c r="C9" t="s">
        <v>44</v>
      </c>
      <c r="D9" t="s">
        <v>2</v>
      </c>
      <c r="J9" t="s">
        <v>0</v>
      </c>
      <c r="K9" t="s">
        <v>1</v>
      </c>
      <c r="L9" t="s">
        <v>44</v>
      </c>
      <c r="M9" t="s">
        <v>2</v>
      </c>
    </row>
    <row r="10" spans="1:13" x14ac:dyDescent="0.25">
      <c r="A10">
        <v>1</v>
      </c>
      <c r="B10" t="s">
        <v>5</v>
      </c>
      <c r="D10" t="s">
        <v>46</v>
      </c>
      <c r="J10">
        <v>1</v>
      </c>
      <c r="K10" s="3"/>
      <c r="M10" t="s">
        <v>69</v>
      </c>
    </row>
    <row r="11" spans="1:13" x14ac:dyDescent="0.25">
      <c r="A11">
        <f>A10+1</f>
        <v>2</v>
      </c>
      <c r="B11" t="s">
        <v>6</v>
      </c>
      <c r="D11" t="s">
        <v>48</v>
      </c>
      <c r="J11">
        <f>J10+1</f>
        <v>2</v>
      </c>
      <c r="K11" t="s">
        <v>27</v>
      </c>
      <c r="L11" t="s">
        <v>75</v>
      </c>
      <c r="M11" t="s">
        <v>85</v>
      </c>
    </row>
    <row r="12" spans="1:13" x14ac:dyDescent="0.25">
      <c r="A12">
        <f t="shared" ref="A12:A35" si="0">A11+1</f>
        <v>3</v>
      </c>
      <c r="B12" t="s">
        <v>7</v>
      </c>
      <c r="D12" t="s">
        <v>55</v>
      </c>
      <c r="J12">
        <f t="shared" ref="J12:J25" si="1">J11+1</f>
        <v>3</v>
      </c>
      <c r="K12" t="s">
        <v>28</v>
      </c>
      <c r="M12" t="s">
        <v>89</v>
      </c>
    </row>
    <row r="13" spans="1:13" x14ac:dyDescent="0.25">
      <c r="A13">
        <f t="shared" si="0"/>
        <v>4</v>
      </c>
      <c r="B13" t="s">
        <v>8</v>
      </c>
      <c r="D13" t="s">
        <v>54</v>
      </c>
      <c r="J13">
        <f t="shared" si="1"/>
        <v>4</v>
      </c>
      <c r="K13" t="s">
        <v>29</v>
      </c>
      <c r="M13" t="s">
        <v>59</v>
      </c>
    </row>
    <row r="14" spans="1:13" x14ac:dyDescent="0.25">
      <c r="A14">
        <f t="shared" si="0"/>
        <v>5</v>
      </c>
      <c r="B14" t="s">
        <v>9</v>
      </c>
      <c r="D14" t="s">
        <v>56</v>
      </c>
      <c r="J14">
        <f t="shared" si="1"/>
        <v>5</v>
      </c>
      <c r="K14" t="s">
        <v>70</v>
      </c>
      <c r="M14" t="s">
        <v>53</v>
      </c>
    </row>
    <row r="15" spans="1:13" x14ac:dyDescent="0.25">
      <c r="A15">
        <f t="shared" si="0"/>
        <v>6</v>
      </c>
      <c r="B15" t="s">
        <v>78</v>
      </c>
      <c r="C15" t="s">
        <v>75</v>
      </c>
      <c r="D15" t="s">
        <v>76</v>
      </c>
      <c r="J15">
        <f t="shared" si="1"/>
        <v>6</v>
      </c>
      <c r="K15" s="3" t="s">
        <v>30</v>
      </c>
      <c r="M15" t="s">
        <v>72</v>
      </c>
    </row>
    <row r="16" spans="1:13" x14ac:dyDescent="0.25">
      <c r="A16">
        <f t="shared" si="0"/>
        <v>7</v>
      </c>
      <c r="B16" s="3" t="s">
        <v>10</v>
      </c>
      <c r="D16" t="s">
        <v>80</v>
      </c>
      <c r="J16">
        <f t="shared" si="1"/>
        <v>7</v>
      </c>
      <c r="K16" t="s">
        <v>31</v>
      </c>
      <c r="M16" t="s">
        <v>62</v>
      </c>
    </row>
    <row r="17" spans="1:13" x14ac:dyDescent="0.25">
      <c r="A17">
        <f t="shared" si="0"/>
        <v>8</v>
      </c>
      <c r="B17" t="s">
        <v>71</v>
      </c>
      <c r="D17" t="s">
        <v>79</v>
      </c>
      <c r="J17">
        <f t="shared" si="1"/>
        <v>8</v>
      </c>
      <c r="K17" t="s">
        <v>32</v>
      </c>
      <c r="M17" t="s">
        <v>62</v>
      </c>
    </row>
    <row r="18" spans="1:13" x14ac:dyDescent="0.25">
      <c r="A18">
        <f t="shared" si="0"/>
        <v>9</v>
      </c>
      <c r="B18" t="s">
        <v>68</v>
      </c>
      <c r="C18" t="s">
        <v>75</v>
      </c>
      <c r="D18" t="s">
        <v>74</v>
      </c>
      <c r="J18">
        <f t="shared" si="1"/>
        <v>9</v>
      </c>
      <c r="K18" s="1" t="s">
        <v>33</v>
      </c>
      <c r="L18" t="s">
        <v>75</v>
      </c>
      <c r="M18" t="s">
        <v>86</v>
      </c>
    </row>
    <row r="19" spans="1:13" x14ac:dyDescent="0.25">
      <c r="A19">
        <f t="shared" si="0"/>
        <v>10</v>
      </c>
      <c r="B19" t="s">
        <v>11</v>
      </c>
      <c r="D19" t="s">
        <v>49</v>
      </c>
      <c r="J19">
        <f t="shared" si="1"/>
        <v>10</v>
      </c>
      <c r="K19" s="4" t="s">
        <v>34</v>
      </c>
      <c r="M19" t="s">
        <v>87</v>
      </c>
    </row>
    <row r="20" spans="1:13" x14ac:dyDescent="0.25">
      <c r="A20">
        <f t="shared" si="0"/>
        <v>11</v>
      </c>
      <c r="B20" t="s">
        <v>12</v>
      </c>
      <c r="D20" t="s">
        <v>67</v>
      </c>
      <c r="J20">
        <f t="shared" si="1"/>
        <v>11</v>
      </c>
      <c r="K20" s="3" t="s">
        <v>35</v>
      </c>
      <c r="M20" t="s">
        <v>88</v>
      </c>
    </row>
    <row r="21" spans="1:13" x14ac:dyDescent="0.25">
      <c r="A21">
        <f t="shared" si="0"/>
        <v>12</v>
      </c>
      <c r="B21" s="2" t="s">
        <v>13</v>
      </c>
      <c r="C21" t="s">
        <v>75</v>
      </c>
      <c r="D21" t="s">
        <v>57</v>
      </c>
      <c r="J21">
        <f t="shared" si="1"/>
        <v>12</v>
      </c>
      <c r="K21" t="s">
        <v>36</v>
      </c>
      <c r="M21" t="s">
        <v>94</v>
      </c>
    </row>
    <row r="22" spans="1:13" x14ac:dyDescent="0.25">
      <c r="A22">
        <f t="shared" si="0"/>
        <v>13</v>
      </c>
      <c r="B22" t="s">
        <v>14</v>
      </c>
      <c r="C22" t="s">
        <v>75</v>
      </c>
      <c r="D22" t="s">
        <v>73</v>
      </c>
      <c r="J22">
        <f t="shared" si="1"/>
        <v>13</v>
      </c>
      <c r="K22" t="s">
        <v>37</v>
      </c>
    </row>
    <row r="23" spans="1:13" x14ac:dyDescent="0.25">
      <c r="A23">
        <f t="shared" si="0"/>
        <v>14</v>
      </c>
      <c r="B23" t="s">
        <v>15</v>
      </c>
      <c r="D23" t="s">
        <v>45</v>
      </c>
      <c r="J23">
        <f t="shared" si="1"/>
        <v>14</v>
      </c>
      <c r="K23" t="s">
        <v>38</v>
      </c>
      <c r="M23" t="s">
        <v>93</v>
      </c>
    </row>
    <row r="24" spans="1:13" x14ac:dyDescent="0.25">
      <c r="A24">
        <f t="shared" si="0"/>
        <v>15</v>
      </c>
      <c r="B24" t="s">
        <v>16</v>
      </c>
      <c r="D24" t="s">
        <v>50</v>
      </c>
      <c r="J24">
        <f t="shared" si="1"/>
        <v>15</v>
      </c>
      <c r="K24" t="s">
        <v>39</v>
      </c>
      <c r="M24" t="s">
        <v>60</v>
      </c>
    </row>
    <row r="25" spans="1:13" x14ac:dyDescent="0.25">
      <c r="A25">
        <f t="shared" si="0"/>
        <v>16</v>
      </c>
      <c r="B25" t="s">
        <v>17</v>
      </c>
      <c r="D25" t="s">
        <v>83</v>
      </c>
      <c r="J25">
        <f t="shared" si="1"/>
        <v>16</v>
      </c>
      <c r="K25" t="s">
        <v>40</v>
      </c>
      <c r="M25" t="s">
        <v>61</v>
      </c>
    </row>
    <row r="26" spans="1:13" x14ac:dyDescent="0.25">
      <c r="A26">
        <f t="shared" si="0"/>
        <v>17</v>
      </c>
      <c r="B26" t="s">
        <v>18</v>
      </c>
      <c r="C26" t="s">
        <v>75</v>
      </c>
      <c r="D26" t="s">
        <v>90</v>
      </c>
    </row>
    <row r="27" spans="1:13" x14ac:dyDescent="0.25">
      <c r="A27">
        <f t="shared" si="0"/>
        <v>18</v>
      </c>
      <c r="B27" t="s">
        <v>19</v>
      </c>
      <c r="C27" t="s">
        <v>75</v>
      </c>
      <c r="D27" t="s">
        <v>91</v>
      </c>
    </row>
    <row r="28" spans="1:13" x14ac:dyDescent="0.25">
      <c r="A28">
        <f t="shared" si="0"/>
        <v>19</v>
      </c>
      <c r="B28" s="3" t="s">
        <v>20</v>
      </c>
      <c r="D28" t="s">
        <v>81</v>
      </c>
    </row>
    <row r="29" spans="1:13" x14ac:dyDescent="0.25">
      <c r="A29">
        <f t="shared" si="0"/>
        <v>20</v>
      </c>
      <c r="B29" s="3" t="s">
        <v>21</v>
      </c>
      <c r="D29" t="s">
        <v>82</v>
      </c>
    </row>
    <row r="30" spans="1:13" x14ac:dyDescent="0.25">
      <c r="A30">
        <f t="shared" si="0"/>
        <v>21</v>
      </c>
      <c r="B30" t="s">
        <v>22</v>
      </c>
      <c r="C30" t="s">
        <v>75</v>
      </c>
      <c r="D30" t="s">
        <v>92</v>
      </c>
    </row>
    <row r="31" spans="1:13" x14ac:dyDescent="0.25">
      <c r="A31">
        <f t="shared" si="0"/>
        <v>22</v>
      </c>
      <c r="B31" s="3" t="s">
        <v>23</v>
      </c>
      <c r="D31" t="s">
        <v>47</v>
      </c>
    </row>
    <row r="32" spans="1:13" x14ac:dyDescent="0.25">
      <c r="A32">
        <f t="shared" si="0"/>
        <v>23</v>
      </c>
      <c r="B32" s="3" t="s">
        <v>24</v>
      </c>
      <c r="D32" t="s">
        <v>47</v>
      </c>
    </row>
    <row r="33" spans="1:4" x14ac:dyDescent="0.25">
      <c r="A33">
        <f t="shared" si="0"/>
        <v>24</v>
      </c>
      <c r="B33" t="s">
        <v>25</v>
      </c>
      <c r="D33" t="s">
        <v>84</v>
      </c>
    </row>
    <row r="34" spans="1:4" x14ac:dyDescent="0.25">
      <c r="A34">
        <f t="shared" si="0"/>
        <v>25</v>
      </c>
      <c r="B34" s="2" t="s">
        <v>26</v>
      </c>
      <c r="C34" t="s">
        <v>75</v>
      </c>
      <c r="D34" t="s">
        <v>58</v>
      </c>
    </row>
    <row r="35" spans="1:4" x14ac:dyDescent="0.25">
      <c r="A35">
        <f t="shared" si="0"/>
        <v>26</v>
      </c>
      <c r="B35" s="3"/>
      <c r="D35" t="s">
        <v>69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Berlingieri</dc:creator>
  <cp:lastModifiedBy>James Berlingieri</cp:lastModifiedBy>
  <dcterms:created xsi:type="dcterms:W3CDTF">2025-06-30T07:20:32Z</dcterms:created>
  <dcterms:modified xsi:type="dcterms:W3CDTF">2025-07-29T05:37:27Z</dcterms:modified>
</cp:coreProperties>
</file>